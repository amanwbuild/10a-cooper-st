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2234019.sharepoint.com/sites/WBuild/Projects  Estimating/Cost Plans/1. In Progress/3. QLD/260803_32 Sutherland Avenue_ Preliminary Pricing Information Issue/Internal/"/>
    </mc:Choice>
  </mc:AlternateContent>
  <xr:revisionPtr revIDLastSave="9" documentId="8_{03163FC3-AF04-A546-857E-FAD44E899A86}" xr6:coauthVersionLast="47" xr6:coauthVersionMax="47" xr10:uidLastSave="{DF33248D-A91F-8C4F-A5B7-07E8299C59CC}"/>
  <bookViews>
    <workbookView xWindow="-28500" yWindow="-18340" windowWidth="27240" windowHeight="16180" xr2:uid="{12539D03-876B-CC43-A578-93C3E2F7BDAE}"/>
  </bookViews>
  <sheets>
    <sheet name="Architectural Take Off" sheetId="1" r:id="rId1"/>
  </sheets>
  <externalReferences>
    <externalReference r:id="rId2"/>
  </externalReferences>
  <definedNames>
    <definedName name="AreaTotal1">[1]Architectural!#REF!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4" i="1"/>
  <c r="G10" i="1"/>
  <c r="G9" i="1"/>
  <c r="G7" i="1"/>
  <c r="G6" i="1"/>
  <c r="G14" i="1" l="1"/>
</calcChain>
</file>

<file path=xl/sharedStrings.xml><?xml version="1.0" encoding="utf-8"?>
<sst xmlns="http://schemas.openxmlformats.org/spreadsheetml/2006/main" count="27" uniqueCount="22">
  <si>
    <t>Subject</t>
  </si>
  <si>
    <t>Description</t>
  </si>
  <si>
    <t xml:space="preserve">Measurement </t>
  </si>
  <si>
    <t>Unit</t>
  </si>
  <si>
    <t xml:space="preserve">Rate ($) </t>
  </si>
  <si>
    <t>Cost ($)</t>
  </si>
  <si>
    <t>Floorplate</t>
  </si>
  <si>
    <t>sq m</t>
  </si>
  <si>
    <t>Garage</t>
  </si>
  <si>
    <t>External Works</t>
  </si>
  <si>
    <t>Total</t>
  </si>
  <si>
    <t>32 Sutherland Ave, Ascot</t>
  </si>
  <si>
    <t>Existing House Minor Refurb</t>
  </si>
  <si>
    <t>Level 01 Extension</t>
  </si>
  <si>
    <t>Bed 01 Ensuite &amp; WIR Lightweight Extension</t>
  </si>
  <si>
    <t>Ground Level Extension</t>
  </si>
  <si>
    <t>Uncovered Terrace</t>
  </si>
  <si>
    <t>Covered Terrace</t>
  </si>
  <si>
    <t>Pool &amp; Spa</t>
  </si>
  <si>
    <t>Driveway &amp; Surrounds</t>
  </si>
  <si>
    <t>Soft Landscaping</t>
  </si>
  <si>
    <t>20-22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</si>
</sst>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3228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4" fontId="0" fillId="0" borderId="0" xfId="1" applyFont="1" applyAlignment="1">
      <alignment vertical="center"/>
    </xf>
    <xf numFmtId="164" fontId="0" fillId="0" borderId="0" xfId="1" applyFont="1"/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0" xfId="1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8" xfId="0" applyFont="1" applyBorder="1"/>
    <xf numFmtId="164" fontId="1" fillId="0" borderId="8" xfId="1" applyFont="1" applyBorder="1"/>
    <xf numFmtId="164" fontId="1" fillId="0" borderId="9" xfId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13" xfId="0" applyFont="1" applyBorder="1"/>
    <xf numFmtId="164" fontId="1" fillId="0" borderId="13" xfId="1" applyFont="1" applyBorder="1"/>
    <xf numFmtId="164" fontId="1" fillId="0" borderId="14" xfId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5" xfId="0" applyFont="1" applyBorder="1"/>
    <xf numFmtId="0" fontId="1" fillId="0" borderId="16" xfId="0" applyFont="1" applyBorder="1"/>
    <xf numFmtId="164" fontId="1" fillId="0" borderId="16" xfId="1" applyFont="1" applyBorder="1"/>
    <xf numFmtId="164" fontId="1" fillId="0" borderId="17" xfId="1" applyFont="1" applyBorder="1"/>
    <xf numFmtId="164" fontId="1" fillId="0" borderId="0" xfId="1" applyFont="1"/>
    <xf numFmtId="0" fontId="2" fillId="0" borderId="1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64" fontId="7" fillId="0" borderId="18" xfId="1" applyFont="1" applyBorder="1" applyAlignment="1">
      <alignment vertical="center"/>
    </xf>
    <xf numFmtId="0" fontId="4" fillId="2" borderId="19" xfId="0" applyFont="1" applyFill="1" applyBorder="1" applyAlignment="1">
      <alignment horizontal="left" vertical="center" indent="2"/>
    </xf>
    <xf numFmtId="0" fontId="4" fillId="2" borderId="20" xfId="0" applyFont="1" applyFill="1" applyBorder="1" applyAlignment="1">
      <alignment horizontal="left" vertical="center" indent="2"/>
    </xf>
    <xf numFmtId="0" fontId="4" fillId="2" borderId="21" xfId="0" applyFont="1" applyFill="1" applyBorder="1" applyAlignment="1">
      <alignment horizontal="left" vertical="center" indent="2"/>
    </xf>
    <xf numFmtId="0" fontId="6" fillId="0" borderId="1" xfId="0" applyFont="1" applyBorder="1" applyAlignment="1">
      <alignment horizontal="right" vertical="center" wrapText="1"/>
    </xf>
    <xf numFmtId="0" fontId="1" fillId="0" borderId="22" xfId="0" applyFont="1" applyBorder="1"/>
    <xf numFmtId="0" fontId="1" fillId="0" borderId="23" xfId="0" applyFont="1" applyBorder="1"/>
    <xf numFmtId="164" fontId="1" fillId="0" borderId="23" xfId="1" applyFont="1" applyBorder="1"/>
    <xf numFmtId="164" fontId="1" fillId="0" borderId="24" xfId="1" applyFont="1" applyBorder="1"/>
    <xf numFmtId="0" fontId="5" fillId="0" borderId="6" xfId="0" applyFont="1" applyBorder="1" applyAlignment="1">
      <alignment horizontal="center" vertical="center"/>
    </xf>
    <xf numFmtId="164" fontId="1" fillId="0" borderId="14" xfId="1" applyFont="1" applyBorder="1"/>
    <xf numFmtId="164" fontId="1" fillId="0" borderId="24" xfId="1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166798</xdr:colOff>
      <xdr:row>1</xdr:row>
      <xdr:rowOff>67100</xdr:rowOff>
    </xdr:from>
    <xdr:to>
      <xdr:col>6</xdr:col>
      <xdr:colOff>1431637</xdr:colOff>
      <xdr:row>1</xdr:row>
      <xdr:rowOff>765611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D2D9C-4CBA-4943-97F4-EEACCE86E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5343" y="274918"/>
          <a:ext cx="1264839" cy="6985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115%20-%2031%20McIlwain%20Dr,%20Mermaid%20Waters/Internal%20Tender%20Documents/Take%20Off/31%20McIlwain%20Dr,%20Mermaid%20Waters%20-Take%20Off%20-%2024.08.xlsx" TargetMode="External"/><Relationship Id="rId2" Type="http://schemas.openxmlformats.org/officeDocument/2006/relationships/externalLinkPath" Target="https://netorg12234019.sharepoint.com/sites/WBuild/Projects%20%20Estimating/W115%20-%2031%20McIlwain%20Dr,%20Mermaid%20Waters/Internal%20Tender%20Documents/Take%20Off/31%20McIlwain%20Dr,%20Mermaid%20Waters%20-Take%20Off%20-%2024.08.xlsx" TargetMode="External"/><Relationship Id="rId1" Type="http://schemas.openxmlformats.org/officeDocument/2006/relationships/externalLinkPath" Target="/sites/WBuild/Projects%20%20Estimating/W115%20-%2031%20McIlwain%20Dr,%20Mermaid%20Waters/Internal%20Tender%20Documents/Take%20Off/31%20McIlwain%20Dr,%20Mermaid%20Waters%20-Take%20Off%20-%2024.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bQuantityLink"/>
      <sheetName val="_REFERENCE888777888"/>
      <sheetName val="Architectural"/>
      <sheetName val="Structural"/>
      <sheetName val="Doors &amp; Windows + Skylights "/>
      <sheetName val="Lighting"/>
      <sheetName val="FF+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759D-C27C-8743-9F29-3575A5E1C336}">
  <dimension ref="B1:I16"/>
  <sheetViews>
    <sheetView tabSelected="1" zoomScale="110" zoomScaleNormal="110" workbookViewId="0">
      <selection activeCell="B22" sqref="B22"/>
    </sheetView>
  </sheetViews>
  <sheetFormatPr baseColWidth="10" defaultColWidth="8.6640625" defaultRowHeight="15" x14ac:dyDescent="0.2"/>
  <cols>
    <col min="1" max="1" width="4" customWidth="1"/>
    <col min="2" max="2" width="47.6640625" style="1" customWidth="1"/>
    <col min="3" max="3" width="39" style="2" customWidth="1"/>
    <col min="4" max="4" width="17.5" style="3" customWidth="1"/>
    <col min="5" max="5" width="8.6640625" style="3"/>
    <col min="6" max="6" width="14.6640625" style="4" customWidth="1"/>
    <col min="7" max="7" width="21.33203125" style="4" customWidth="1"/>
    <col min="8" max="8" width="23" customWidth="1"/>
    <col min="9" max="9" width="22.1640625" style="5" customWidth="1"/>
    <col min="10" max="10" width="28.5" customWidth="1"/>
    <col min="11" max="11" width="24" customWidth="1"/>
    <col min="12" max="12" width="32.5" customWidth="1"/>
    <col min="14" max="14" width="30.5" customWidth="1"/>
    <col min="16" max="16" width="16.6640625" customWidth="1"/>
    <col min="18" max="18" width="21.5" customWidth="1"/>
    <col min="20" max="20" width="11.6640625" customWidth="1"/>
    <col min="21" max="21" width="28.33203125" customWidth="1"/>
    <col min="22" max="22" width="10.5" customWidth="1"/>
  </cols>
  <sheetData>
    <row r="1" spans="2:9" ht="16" thickBot="1" x14ac:dyDescent="0.25"/>
    <row r="2" spans="2:9" ht="62.25" customHeight="1" thickBot="1" x14ac:dyDescent="0.25">
      <c r="B2" s="34" t="s">
        <v>11</v>
      </c>
      <c r="C2" s="35"/>
      <c r="D2" s="35"/>
      <c r="E2" s="35"/>
      <c r="F2" s="35"/>
      <c r="G2" s="36"/>
    </row>
    <row r="3" spans="2:9" s="10" customFormat="1" ht="17" thickBot="1" x14ac:dyDescent="0.25">
      <c r="B3" s="42" t="s">
        <v>0</v>
      </c>
      <c r="C3" s="6" t="s">
        <v>1</v>
      </c>
      <c r="D3" s="7" t="s">
        <v>2</v>
      </c>
      <c r="E3" s="7" t="s">
        <v>3</v>
      </c>
      <c r="F3" s="8" t="s">
        <v>4</v>
      </c>
      <c r="G3" s="9" t="s">
        <v>5</v>
      </c>
      <c r="I3" s="11"/>
    </row>
    <row r="4" spans="2:9" ht="17" customHeight="1" x14ac:dyDescent="0.2">
      <c r="B4" s="12" t="s">
        <v>6</v>
      </c>
      <c r="C4" s="13" t="s">
        <v>15</v>
      </c>
      <c r="D4" s="14">
        <v>250</v>
      </c>
      <c r="E4" s="14" t="s">
        <v>7</v>
      </c>
      <c r="F4" s="15">
        <v>12000</v>
      </c>
      <c r="G4" s="16">
        <f t="shared" ref="G4:G5" si="0">F4*D4</f>
        <v>3000000</v>
      </c>
    </row>
    <row r="5" spans="2:9" ht="16" x14ac:dyDescent="0.2">
      <c r="B5" s="17"/>
      <c r="C5" s="19" t="s">
        <v>8</v>
      </c>
      <c r="D5" s="23">
        <v>265</v>
      </c>
      <c r="E5" s="20" t="s">
        <v>7</v>
      </c>
      <c r="F5" s="21">
        <v>8000</v>
      </c>
      <c r="G5" s="22">
        <f t="shared" si="0"/>
        <v>2120000</v>
      </c>
    </row>
    <row r="6" spans="2:9" ht="16" x14ac:dyDescent="0.2">
      <c r="B6" s="17"/>
      <c r="C6" s="19" t="s">
        <v>14</v>
      </c>
      <c r="D6" s="20">
        <v>45</v>
      </c>
      <c r="E6" s="20" t="s">
        <v>7</v>
      </c>
      <c r="F6" s="21">
        <v>12000</v>
      </c>
      <c r="G6" s="22">
        <f>F6*D6</f>
        <v>540000</v>
      </c>
    </row>
    <row r="7" spans="2:9" ht="16" x14ac:dyDescent="0.2">
      <c r="B7" s="17"/>
      <c r="C7" s="19" t="s">
        <v>13</v>
      </c>
      <c r="D7" s="20">
        <v>300</v>
      </c>
      <c r="E7" s="20" t="s">
        <v>7</v>
      </c>
      <c r="F7" s="21">
        <v>15000</v>
      </c>
      <c r="G7" s="22">
        <f t="shared" ref="G7" si="1">F7*D7</f>
        <v>4500000</v>
      </c>
    </row>
    <row r="8" spans="2:9" ht="16" customHeight="1" thickBot="1" x14ac:dyDescent="0.25">
      <c r="B8" s="30"/>
      <c r="C8" s="38" t="s">
        <v>12</v>
      </c>
      <c r="D8" s="39"/>
      <c r="E8" s="39"/>
      <c r="F8" s="40"/>
      <c r="G8" s="44">
        <v>500000</v>
      </c>
    </row>
    <row r="9" spans="2:9" ht="16" x14ac:dyDescent="0.2">
      <c r="B9" s="18" t="s">
        <v>9</v>
      </c>
      <c r="C9" s="25" t="s">
        <v>16</v>
      </c>
      <c r="D9" s="26">
        <v>480</v>
      </c>
      <c r="E9" s="26" t="s">
        <v>7</v>
      </c>
      <c r="F9" s="27">
        <v>5000</v>
      </c>
      <c r="G9" s="28">
        <f>F9*D9</f>
        <v>2400000</v>
      </c>
    </row>
    <row r="10" spans="2:9" ht="16" x14ac:dyDescent="0.2">
      <c r="B10" s="18"/>
      <c r="C10" s="19" t="s">
        <v>17</v>
      </c>
      <c r="D10" s="20">
        <v>180</v>
      </c>
      <c r="E10" s="20" t="s">
        <v>7</v>
      </c>
      <c r="F10" s="21">
        <v>8000</v>
      </c>
      <c r="G10" s="43">
        <f>F10*D10</f>
        <v>1440000</v>
      </c>
    </row>
    <row r="11" spans="2:9" ht="16" x14ac:dyDescent="0.2">
      <c r="B11" s="18"/>
      <c r="C11" s="19" t="s">
        <v>18</v>
      </c>
      <c r="D11" s="20"/>
      <c r="E11" s="20"/>
      <c r="F11" s="21"/>
      <c r="G11" s="43">
        <v>400000</v>
      </c>
    </row>
    <row r="12" spans="2:9" ht="16" x14ac:dyDescent="0.2">
      <c r="B12" s="18"/>
      <c r="C12" s="19" t="s">
        <v>19</v>
      </c>
      <c r="D12" s="20"/>
      <c r="E12" s="20"/>
      <c r="F12" s="21"/>
      <c r="G12" s="43">
        <v>200000</v>
      </c>
    </row>
    <row r="13" spans="2:9" ht="17" thickBot="1" x14ac:dyDescent="0.25">
      <c r="B13" s="24"/>
      <c r="C13" s="38" t="s">
        <v>20</v>
      </c>
      <c r="D13" s="39"/>
      <c r="E13" s="39"/>
      <c r="F13" s="40"/>
      <c r="G13" s="41">
        <v>500000</v>
      </c>
    </row>
    <row r="14" spans="2:9" ht="23" thickBot="1" x14ac:dyDescent="0.25">
      <c r="B14" s="37" t="s">
        <v>10</v>
      </c>
      <c r="C14" s="31"/>
      <c r="D14" s="31"/>
      <c r="E14" s="31"/>
      <c r="F14" s="32"/>
      <c r="G14" s="33">
        <f>SUM(G4:G13)</f>
        <v>15600000</v>
      </c>
      <c r="I14" s="29"/>
    </row>
    <row r="16" spans="2:9" x14ac:dyDescent="0.2">
      <c r="G16" s="4" t="s">
        <v>21</v>
      </c>
    </row>
  </sheetData>
  <mergeCells count="4">
    <mergeCell ref="B9:B13"/>
    <mergeCell ref="B14:F14"/>
    <mergeCell ref="B2:G2"/>
    <mergeCell ref="B4:B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F380586652D40B0C4CA3030A532F7" ma:contentTypeVersion="13" ma:contentTypeDescription="Create a new document." ma:contentTypeScope="" ma:versionID="dc8c8ee5a9fb25f529826d6404b2d93f">
  <xsd:schema xmlns:xsd="http://www.w3.org/2001/XMLSchema" xmlns:xs="http://www.w3.org/2001/XMLSchema" xmlns:p="http://schemas.microsoft.com/office/2006/metadata/properties" xmlns:ns2="4feecdb1-815b-4eef-8a48-39353fae8816" xmlns:ns3="4270eac5-a97f-47fc-9d73-376976fea412" targetNamespace="http://schemas.microsoft.com/office/2006/metadata/properties" ma:root="true" ma:fieldsID="009f4de0af3b20fa8833aab82b5c703d" ns2:_="" ns3:_="">
    <xsd:import namespace="4feecdb1-815b-4eef-8a48-39353fae8816"/>
    <xsd:import namespace="4270eac5-a97f-47fc-9d73-376976fea4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ecdb1-815b-4eef-8a48-39353fae8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5bc2c-014f-4149-b2fe-9a485ffb05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0eac5-a97f-47fc-9d73-376976fea4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18f1cf-ada6-429c-aa74-20c46328091c}" ma:internalName="TaxCatchAll" ma:showField="CatchAllData" ma:web="4270eac5-a97f-47fc-9d73-376976fea4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eecdb1-815b-4eef-8a48-39353fae8816">
      <Terms xmlns="http://schemas.microsoft.com/office/infopath/2007/PartnerControls"/>
    </lcf76f155ced4ddcb4097134ff3c332f>
    <TaxCatchAll xmlns="4270eac5-a97f-47fc-9d73-376976fea412" xsi:nil="true"/>
  </documentManagement>
</p:properties>
</file>

<file path=customXml/itemProps1.xml><?xml version="1.0" encoding="utf-8"?>
<ds:datastoreItem xmlns:ds="http://schemas.openxmlformats.org/officeDocument/2006/customXml" ds:itemID="{77786422-BD6A-4547-8F54-3CDACB48117D}"/>
</file>

<file path=customXml/itemProps2.xml><?xml version="1.0" encoding="utf-8"?>
<ds:datastoreItem xmlns:ds="http://schemas.openxmlformats.org/officeDocument/2006/customXml" ds:itemID="{15F24ABA-3DBF-42EF-9123-4EFB81697D5E}"/>
</file>

<file path=customXml/itemProps3.xml><?xml version="1.0" encoding="utf-8"?>
<ds:datastoreItem xmlns:ds="http://schemas.openxmlformats.org/officeDocument/2006/customXml" ds:itemID="{0FEAC21A-404B-4F39-8BA7-AEB677A2F7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Architectural Take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 Naing Aung</dc:creator>
  <cp:lastModifiedBy>Sat Naing Aung</cp:lastModifiedBy>
  <dcterms:created xsi:type="dcterms:W3CDTF">2026-08-04T06:47:33Z</dcterms:created>
  <dcterms:modified xsi:type="dcterms:W3CDTF">2026-08-04T07:32:57Z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0x010100747F380586652D40B0C4CA3030A532F7</vt:lpwstr>
  </property>
</Properties>
</file>